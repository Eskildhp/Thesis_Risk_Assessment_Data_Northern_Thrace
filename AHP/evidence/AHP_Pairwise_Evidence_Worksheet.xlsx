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Project\10_docs\Appendix\"/>
    </mc:Choice>
  </mc:AlternateContent>
  <xr:revisionPtr revIDLastSave="0" documentId="8_{E2AEEFCA-70AD-464C-80CF-1FD0CD87C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idence Worksheet" sheetId="1" r:id="rId1"/>
    <sheet name="Overlap with vulnerable sit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E17" i="4"/>
  <c r="E16" i="4"/>
  <c r="E15" i="4"/>
  <c r="E14" i="4"/>
  <c r="E12" i="4"/>
  <c r="E9" i="4"/>
  <c r="E8" i="4"/>
  <c r="E3" i="4"/>
  <c r="E4" i="4"/>
  <c r="E5" i="4"/>
  <c r="E6" i="4"/>
  <c r="E2" i="4"/>
</calcChain>
</file>

<file path=xl/sharedStrings.xml><?xml version="1.0" encoding="utf-8"?>
<sst xmlns="http://schemas.openxmlformats.org/spreadsheetml/2006/main" count="310" uniqueCount="37">
  <si>
    <t>Cluster</t>
  </si>
  <si>
    <t>Criterion A</t>
  </si>
  <si>
    <t>Criterion B</t>
  </si>
  <si>
    <t>Mean A</t>
  </si>
  <si>
    <t>Mean B</t>
  </si>
  <si>
    <t>Matrix entry A/B</t>
  </si>
  <si>
    <t>Seismic hazard</t>
  </si>
  <si>
    <t>Wildfire hazard</t>
  </si>
  <si>
    <t>Flood hazard</t>
  </si>
  <si>
    <t>Soil erosion</t>
  </si>
  <si>
    <t>Landslide susceptibility</t>
  </si>
  <si>
    <t>Asset vulnerability</t>
  </si>
  <si>
    <t>B</t>
  </si>
  <si>
    <t>A</t>
  </si>
  <si>
    <t>Similar</t>
  </si>
  <si>
    <t>Hazard</t>
  </si>
  <si>
    <t>Seismic</t>
  </si>
  <si>
    <t>Wildfire</t>
  </si>
  <si>
    <t>Flood</t>
  </si>
  <si>
    <t>Landslide</t>
  </si>
  <si>
    <t>N/A</t>
  </si>
  <si>
    <t>Pairwise comparison value</t>
  </si>
  <si>
    <t>Valid sites A</t>
  </si>
  <si>
    <t>Valid sites B</t>
  </si>
  <si>
    <t>Hazard A 
Score 7-9 (%)</t>
  </si>
  <si>
    <t>Hazard B 
Score 7-9 (%)</t>
  </si>
  <si>
    <t>Broader hazard  coverage</t>
  </si>
  <si>
    <t>Greater overlap with vulnerable sites</t>
  </si>
  <si>
    <t>Higher data reliability</t>
  </si>
  <si>
    <t>Stronger criterion</t>
  </si>
  <si>
    <t/>
  </si>
  <si>
    <t>Sites with high hazard</t>
  </si>
  <si>
    <t>Sites with high hazard and high vulnerability (number)</t>
  </si>
  <si>
    <t xml:space="preserve">Sites with high hazard and high vulnerability % </t>
  </si>
  <si>
    <t xml:space="preserve">AHP Pairwise Comparison Evidence </t>
  </si>
  <si>
    <t>Note: Vulnerability overlap is the percentage of sites with both a high hazard score and high vulnerability.</t>
  </si>
  <si>
    <r>
      <rPr>
        <b/>
        <sz val="11"/>
        <rFont val="Calibri"/>
        <family val="2"/>
        <scheme val="minor"/>
      </rPr>
      <t>Note:</t>
    </r>
    <r>
      <rPr>
        <sz val="11"/>
        <rFont val="Calibri"/>
        <family val="2"/>
        <scheme val="minor"/>
      </rPr>
      <t xml:space="preserve">  Criterion A and B represent the two criteria evaluated in the pairwise comparison. A and B show which criterion is stronger, similar indicates no clear difference and N/A indicates that the comparison was not applicable. The stronger criterion shows the overall assessment based on the supporting evidence. Pairwise comparison values were based on the Saaty scale. Matrix entry A/B shows the pairwise comparison value for Criterion A relative to Criterion B and when criterion B was stronger, the inverse of the pairwise comparison value was used.  Table developed by the author.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</si>
</sst>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b/>
      <sz val="11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aj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CB4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164" fontId="3" fillId="0" borderId="4" xfId="0" applyNumberFormat="1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/>
    </xf>
    <xf numFmtId="0" fontId="3" fillId="6" borderId="0" xfId="0" applyFont="1" applyFill="1"/>
    <xf numFmtId="0" fontId="3" fillId="7" borderId="3" xfId="0" applyFont="1" applyFill="1" applyBorder="1" applyAlignment="1">
      <alignment horizontal="center"/>
    </xf>
    <xf numFmtId="0" fontId="3" fillId="7" borderId="0" xfId="0" applyFont="1" applyFill="1"/>
    <xf numFmtId="0" fontId="3" fillId="8" borderId="3" xfId="0" applyFont="1" applyFill="1" applyBorder="1" applyAlignment="1">
      <alignment horizontal="center"/>
    </xf>
    <xf numFmtId="0" fontId="3" fillId="8" borderId="0" xfId="0" applyFont="1" applyFill="1"/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/>
    <xf numFmtId="2" fontId="3" fillId="0" borderId="6" xfId="0" applyNumberFormat="1" applyFont="1" applyBorder="1"/>
    <xf numFmtId="0" fontId="3" fillId="0" borderId="6" xfId="0" applyFont="1" applyBorder="1"/>
    <xf numFmtId="164" fontId="3" fillId="0" borderId="6" xfId="0" applyNumberFormat="1" applyFont="1" applyBorder="1"/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/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/>
    <xf numFmtId="0" fontId="3" fillId="9" borderId="3" xfId="0" applyFont="1" applyFill="1" applyBorder="1" applyAlignment="1">
      <alignment horizontal="center"/>
    </xf>
    <xf numFmtId="0" fontId="3" fillId="9" borderId="0" xfId="0" applyFont="1" applyFill="1"/>
    <xf numFmtId="2" fontId="3" fillId="9" borderId="0" xfId="0" applyNumberFormat="1" applyFont="1" applyFill="1"/>
    <xf numFmtId="164" fontId="3" fillId="9" borderId="0" xfId="0" applyNumberFormat="1" applyFont="1" applyFill="1"/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9" borderId="0" xfId="0" applyFont="1" applyFill="1" applyAlignment="1">
      <alignment horizontal="right"/>
    </xf>
    <xf numFmtId="2" fontId="5" fillId="0" borderId="0" xfId="0" applyNumberFormat="1" applyFont="1"/>
    <xf numFmtId="2" fontId="5" fillId="9" borderId="0" xfId="0" applyNumberFormat="1" applyFont="1" applyFill="1"/>
    <xf numFmtId="0" fontId="0" fillId="0" borderId="0" xfId="0" applyAlignment="1">
      <alignment horizontal="left" vertical="top" wrapText="1"/>
    </xf>
    <xf numFmtId="0" fontId="1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7" fillId="5" borderId="7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0" fillId="0" borderId="9" xfId="0" applyBorder="1"/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9" borderId="10" xfId="0" applyFont="1" applyFill="1" applyBorder="1"/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numFmt numFmtId="2" formatCode="0.00"/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3" tint="9.9978637043366805E-2"/>
        </patternFill>
      </fill>
    </dxf>
  </dxfs>
  <tableStyles count="0" defaultTableStyle="TableStyleMedium2" defaultPivotStyle="PivotStyleLight16"/>
  <colors>
    <mruColors>
      <color rgb="FFFCB4AE"/>
      <color rgb="FFFF9999"/>
      <color rgb="FFFB958D"/>
      <color rgb="FFFA83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airwiseEvidenceTable" displayName="PairwiseEvidenceTable" ref="A3:O50" headerRowDxfId="23" dataDxfId="22" totalsRowDxfId="21">
  <tableColumns count="15">
    <tableColumn id="1" xr3:uid="{00000000-0010-0000-0000-000001000000}" name="Cluster" dataDxfId="20"/>
    <tableColumn id="2" xr3:uid="{00000000-0010-0000-0000-000002000000}" name="Criterion A" dataDxfId="19"/>
    <tableColumn id="3" xr3:uid="{00000000-0010-0000-0000-000003000000}" name="Criterion B" dataDxfId="18"/>
    <tableColumn id="4" xr3:uid="{00000000-0010-0000-0000-000004000000}" name="Mean A" dataDxfId="17"/>
    <tableColumn id="5" xr3:uid="{00000000-0010-0000-0000-000005000000}" name="Mean B" dataDxfId="16"/>
    <tableColumn id="6" xr3:uid="{00000000-0010-0000-0000-000006000000}" name="Valid sites A" dataDxfId="15"/>
    <tableColumn id="7" xr3:uid="{00000000-0010-0000-0000-000007000000}" name="Valid sites B" dataDxfId="14"/>
    <tableColumn id="8" xr3:uid="{00000000-0010-0000-0000-000008000000}" name="Hazard A _x000a_Score 7-9 (%)" dataDxfId="13"/>
    <tableColumn id="9" xr3:uid="{00000000-0010-0000-0000-000009000000}" name="Hazard B _x000a_Score 7-9 (%)" dataDxfId="12"/>
    <tableColumn id="10" xr3:uid="{00000000-0010-0000-0000-00000A000000}" name="Broader hazard  coverage" dataDxfId="11"/>
    <tableColumn id="12" xr3:uid="{00000000-0010-0000-0000-00000C000000}" name="Greater overlap with vulnerable sites" dataDxfId="10"/>
    <tableColumn id="13" xr3:uid="{00000000-0010-0000-0000-00000D000000}" name="Higher data reliability" dataDxfId="9"/>
    <tableColumn id="14" xr3:uid="{00000000-0010-0000-0000-00000E000000}" name="Stronger criterion" dataDxfId="8"/>
    <tableColumn id="15" xr3:uid="{00000000-0010-0000-0000-00000F000000}" name="Pairwise comparison value" dataDxfId="7"/>
    <tableColumn id="16" xr3:uid="{00000000-0010-0000-0000-000010000000}" name="Matrix entry A/B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547CA-C4BC-46ED-B5D8-01D3FA8B5A37}" name="Table1" displayName="Table1" ref="A1:E18" totalsRowShown="0" headerRowDxfId="5">
  <autoFilter ref="A1:E18" xr:uid="{410547CA-C4BC-46ED-B5D8-01D3FA8B5A3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90CC699-FAEE-4DB0-8EA6-A056CEA51EF4}" name="Cluster" dataDxfId="4"/>
    <tableColumn id="2" xr3:uid="{71AF0FFB-41F1-4424-8301-43F9E64DA2E3}" name="Hazard" dataDxfId="3"/>
    <tableColumn id="3" xr3:uid="{A318793E-648C-4B30-8F03-8F07BBB1E65C}" name="Sites with high hazard" dataDxfId="2"/>
    <tableColumn id="4" xr3:uid="{CB192EDD-5C17-4BB6-9446-507E252D7AFD}" name="Sites with high hazard and high vulnerability (number)" dataDxfId="1"/>
    <tableColumn id="5" xr3:uid="{C64156EA-CD74-4680-B14C-15D1A6AD9B8D}" name="Sites with high hazard and high vulnerability % " dataDxfId="0">
      <calculatedColumnFormula>(D2/C2)*100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zoomScaleNormal="100" workbookViewId="0">
      <selection activeCell="B6" sqref="B6"/>
    </sheetView>
  </sheetViews>
  <sheetFormatPr defaultRowHeight="13.8"/>
  <cols>
    <col min="1" max="1" width="9" customWidth="1"/>
    <col min="2" max="2" width="20.59765625" customWidth="1"/>
    <col min="3" max="3" width="21.09765625" customWidth="1"/>
    <col min="4" max="4" width="8.59765625" customWidth="1"/>
    <col min="5" max="5" width="7.796875" customWidth="1"/>
    <col min="6" max="6" width="9" customWidth="1"/>
    <col min="7" max="7" width="9.5" customWidth="1"/>
    <col min="8" max="8" width="10.69921875" customWidth="1"/>
    <col min="9" max="9" width="11.5" customWidth="1"/>
    <col min="10" max="10" width="9.19921875" customWidth="1"/>
    <col min="11" max="11" width="12.59765625" customWidth="1"/>
    <col min="12" max="12" width="10.5" customWidth="1"/>
    <col min="13" max="13" width="9.5" customWidth="1"/>
    <col min="14" max="14" width="9.59765625" customWidth="1"/>
    <col min="15" max="15" width="10.59765625" customWidth="1"/>
  </cols>
  <sheetData>
    <row r="1" spans="1:15" ht="24" customHeight="1">
      <c r="A1" s="45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53.4" customHeight="1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21</v>
      </c>
      <c r="O3" s="6" t="s">
        <v>5</v>
      </c>
    </row>
    <row r="4" spans="1:15" ht="14.4">
      <c r="A4" s="7">
        <v>1</v>
      </c>
      <c r="B4" s="8" t="s">
        <v>6</v>
      </c>
      <c r="C4" s="8" t="s">
        <v>7</v>
      </c>
      <c r="D4" s="2">
        <v>4.5199999999999996</v>
      </c>
      <c r="E4" s="2">
        <v>4.6516849999999996</v>
      </c>
      <c r="F4" s="1">
        <v>178</v>
      </c>
      <c r="G4" s="1">
        <v>178</v>
      </c>
      <c r="H4" s="3">
        <v>0.3707865168539326</v>
      </c>
      <c r="I4" s="3">
        <v>0.3146067415730337</v>
      </c>
      <c r="J4" s="26" t="s">
        <v>12</v>
      </c>
      <c r="K4" s="26" t="s">
        <v>12</v>
      </c>
      <c r="L4" s="26" t="s">
        <v>13</v>
      </c>
      <c r="M4" s="26" t="s">
        <v>14</v>
      </c>
      <c r="N4" s="1">
        <v>1</v>
      </c>
      <c r="O4" s="29">
        <v>1</v>
      </c>
    </row>
    <row r="5" spans="1:15" ht="14.4">
      <c r="A5" s="7">
        <v>1</v>
      </c>
      <c r="B5" s="8" t="s">
        <v>6</v>
      </c>
      <c r="C5" s="8" t="s">
        <v>8</v>
      </c>
      <c r="D5" s="2">
        <v>4.5199999999999996</v>
      </c>
      <c r="E5" s="2">
        <v>1.82</v>
      </c>
      <c r="F5" s="1">
        <v>178</v>
      </c>
      <c r="G5" s="1">
        <v>178</v>
      </c>
      <c r="H5" s="3">
        <v>0.3707865168539326</v>
      </c>
      <c r="I5" s="3">
        <v>5.0561797752808987E-2</v>
      </c>
      <c r="J5" s="26" t="s">
        <v>13</v>
      </c>
      <c r="K5" s="26" t="s">
        <v>13</v>
      </c>
      <c r="L5" s="26" t="s">
        <v>14</v>
      </c>
      <c r="M5" s="26" t="s">
        <v>13</v>
      </c>
      <c r="N5" s="1">
        <v>7</v>
      </c>
      <c r="O5" s="29">
        <v>7</v>
      </c>
    </row>
    <row r="6" spans="1:15" ht="14.4">
      <c r="A6" s="7">
        <v>1</v>
      </c>
      <c r="B6" s="8" t="s">
        <v>6</v>
      </c>
      <c r="C6" s="8" t="s">
        <v>9</v>
      </c>
      <c r="D6" s="2">
        <v>4.5199999999999996</v>
      </c>
      <c r="E6" s="2">
        <v>3.19</v>
      </c>
      <c r="F6" s="1">
        <v>178</v>
      </c>
      <c r="G6" s="1">
        <v>106</v>
      </c>
      <c r="H6" s="3">
        <v>0.3707865168539326</v>
      </c>
      <c r="I6" s="3">
        <v>8.4905660377358486E-2</v>
      </c>
      <c r="J6" s="26" t="s">
        <v>12</v>
      </c>
      <c r="K6" s="26" t="s">
        <v>14</v>
      </c>
      <c r="L6" s="26" t="s">
        <v>13</v>
      </c>
      <c r="M6" s="26" t="s">
        <v>13</v>
      </c>
      <c r="N6" s="1">
        <v>3</v>
      </c>
      <c r="O6" s="29">
        <v>3</v>
      </c>
    </row>
    <row r="7" spans="1:15" ht="14.4">
      <c r="A7" s="7">
        <v>1</v>
      </c>
      <c r="B7" s="8" t="s">
        <v>6</v>
      </c>
      <c r="C7" s="8" t="s">
        <v>10</v>
      </c>
      <c r="D7" s="2">
        <v>4.5199999999999996</v>
      </c>
      <c r="E7" s="2">
        <v>3.31</v>
      </c>
      <c r="F7" s="1">
        <v>178</v>
      </c>
      <c r="G7" s="1">
        <v>157</v>
      </c>
      <c r="H7" s="3">
        <v>0.3707865168539326</v>
      </c>
      <c r="I7" s="3">
        <v>0.15286624203821655</v>
      </c>
      <c r="J7" s="26" t="s">
        <v>13</v>
      </c>
      <c r="K7" s="26" t="s">
        <v>12</v>
      </c>
      <c r="L7" s="26" t="s">
        <v>13</v>
      </c>
      <c r="M7" s="26" t="s">
        <v>13</v>
      </c>
      <c r="N7" s="1">
        <v>3</v>
      </c>
      <c r="O7" s="29">
        <v>3</v>
      </c>
    </row>
    <row r="8" spans="1:15" ht="14.4">
      <c r="A8" s="7">
        <v>1</v>
      </c>
      <c r="B8" s="8" t="s">
        <v>6</v>
      </c>
      <c r="C8" s="8" t="s">
        <v>11</v>
      </c>
      <c r="D8" s="2">
        <v>4.5199999999999996</v>
      </c>
      <c r="E8" s="2">
        <v>3.94</v>
      </c>
      <c r="F8" s="1">
        <v>178</v>
      </c>
      <c r="G8" s="1">
        <v>178</v>
      </c>
      <c r="H8" s="3">
        <v>0.3707865168539326</v>
      </c>
      <c r="I8" s="3">
        <v>0.34831460674157305</v>
      </c>
      <c r="J8" s="26" t="s">
        <v>13</v>
      </c>
      <c r="K8" s="26" t="s">
        <v>20</v>
      </c>
      <c r="L8" s="26" t="s">
        <v>13</v>
      </c>
      <c r="M8" s="26" t="s">
        <v>13</v>
      </c>
      <c r="N8" s="1">
        <v>3</v>
      </c>
      <c r="O8" s="29">
        <v>3</v>
      </c>
    </row>
    <row r="9" spans="1:15" ht="14.4">
      <c r="A9" s="7">
        <v>1</v>
      </c>
      <c r="B9" s="8" t="s">
        <v>7</v>
      </c>
      <c r="C9" s="8" t="s">
        <v>8</v>
      </c>
      <c r="D9" s="2">
        <v>4.6516849999999996</v>
      </c>
      <c r="E9" s="2">
        <v>1.82</v>
      </c>
      <c r="F9" s="1">
        <v>178</v>
      </c>
      <c r="G9" s="1">
        <v>178</v>
      </c>
      <c r="H9" s="3">
        <v>0.3146067415730337</v>
      </c>
      <c r="I9" s="3">
        <v>5.0561797752808987E-2</v>
      </c>
      <c r="J9" s="26" t="s">
        <v>13</v>
      </c>
      <c r="K9" s="26" t="s">
        <v>13</v>
      </c>
      <c r="L9" s="26" t="s">
        <v>12</v>
      </c>
      <c r="M9" s="26" t="s">
        <v>13</v>
      </c>
      <c r="N9" s="1">
        <v>7</v>
      </c>
      <c r="O9" s="29">
        <v>7</v>
      </c>
    </row>
    <row r="10" spans="1:15" ht="14.4">
      <c r="A10" s="7">
        <v>1</v>
      </c>
      <c r="B10" s="8" t="s">
        <v>7</v>
      </c>
      <c r="C10" s="8" t="s">
        <v>9</v>
      </c>
      <c r="D10" s="2">
        <v>4.6516849999999996</v>
      </c>
      <c r="E10" s="2">
        <v>3.19</v>
      </c>
      <c r="F10" s="1">
        <v>178</v>
      </c>
      <c r="G10" s="1">
        <v>106</v>
      </c>
      <c r="H10" s="3">
        <v>0.3146067415730337</v>
      </c>
      <c r="I10" s="3">
        <v>8.4905660377358486E-2</v>
      </c>
      <c r="J10" s="26" t="s">
        <v>13</v>
      </c>
      <c r="K10" s="26" t="s">
        <v>13</v>
      </c>
      <c r="L10" s="26" t="s">
        <v>13</v>
      </c>
      <c r="M10" s="26" t="s">
        <v>13</v>
      </c>
      <c r="N10" s="1">
        <v>3</v>
      </c>
      <c r="O10" s="29">
        <v>3</v>
      </c>
    </row>
    <row r="11" spans="1:15" ht="14.4">
      <c r="A11" s="7">
        <v>1</v>
      </c>
      <c r="B11" s="8" t="s">
        <v>7</v>
      </c>
      <c r="C11" s="8" t="s">
        <v>10</v>
      </c>
      <c r="D11" s="2">
        <v>4.6516849999999996</v>
      </c>
      <c r="E11" s="2">
        <v>3.31</v>
      </c>
      <c r="F11" s="1">
        <v>178</v>
      </c>
      <c r="G11" s="1">
        <v>157</v>
      </c>
      <c r="H11" s="3">
        <v>0.3146067415730337</v>
      </c>
      <c r="I11" s="3">
        <v>0.15286624203821655</v>
      </c>
      <c r="J11" s="26" t="s">
        <v>13</v>
      </c>
      <c r="K11" s="26" t="s">
        <v>14</v>
      </c>
      <c r="L11" s="26" t="s">
        <v>14</v>
      </c>
      <c r="M11" s="26" t="s">
        <v>13</v>
      </c>
      <c r="N11" s="1">
        <v>3</v>
      </c>
      <c r="O11" s="29">
        <v>3</v>
      </c>
    </row>
    <row r="12" spans="1:15" ht="14.4">
      <c r="A12" s="7">
        <v>1</v>
      </c>
      <c r="B12" s="8" t="s">
        <v>7</v>
      </c>
      <c r="C12" s="8" t="s">
        <v>11</v>
      </c>
      <c r="D12" s="2">
        <v>4.6516849999999996</v>
      </c>
      <c r="E12" s="2">
        <v>3.94</v>
      </c>
      <c r="F12" s="1">
        <v>178</v>
      </c>
      <c r="G12" s="1">
        <v>178</v>
      </c>
      <c r="H12" s="3">
        <v>0.3146067415730337</v>
      </c>
      <c r="I12" s="3">
        <v>0.34831460674157305</v>
      </c>
      <c r="J12" s="26" t="s">
        <v>13</v>
      </c>
      <c r="K12" s="26" t="s">
        <v>20</v>
      </c>
      <c r="L12" s="26" t="s">
        <v>14</v>
      </c>
      <c r="M12" s="26" t="s">
        <v>13</v>
      </c>
      <c r="N12" s="1">
        <v>3</v>
      </c>
      <c r="O12" s="29">
        <v>3</v>
      </c>
    </row>
    <row r="13" spans="1:15" ht="14.4">
      <c r="A13" s="7">
        <v>1</v>
      </c>
      <c r="B13" s="8" t="s">
        <v>8</v>
      </c>
      <c r="C13" s="8" t="s">
        <v>9</v>
      </c>
      <c r="D13" s="2">
        <v>1.82</v>
      </c>
      <c r="E13" s="2">
        <v>3.19</v>
      </c>
      <c r="F13" s="1">
        <v>178</v>
      </c>
      <c r="G13" s="1">
        <v>106</v>
      </c>
      <c r="H13" s="3">
        <v>5.0561797752808987E-2</v>
      </c>
      <c r="I13" s="3">
        <v>8.4905660377358486E-2</v>
      </c>
      <c r="J13" s="26" t="s">
        <v>14</v>
      </c>
      <c r="K13" s="26" t="s">
        <v>12</v>
      </c>
      <c r="L13" s="26" t="s">
        <v>13</v>
      </c>
      <c r="M13" s="26" t="s">
        <v>12</v>
      </c>
      <c r="N13" s="1">
        <v>5</v>
      </c>
      <c r="O13" s="29">
        <v>0.2</v>
      </c>
    </row>
    <row r="14" spans="1:15" ht="14.4">
      <c r="A14" s="7">
        <v>1</v>
      </c>
      <c r="B14" s="8" t="s">
        <v>8</v>
      </c>
      <c r="C14" s="8" t="s">
        <v>10</v>
      </c>
      <c r="D14" s="2">
        <v>1.82</v>
      </c>
      <c r="E14" s="2">
        <v>3.31</v>
      </c>
      <c r="F14" s="1">
        <v>178</v>
      </c>
      <c r="G14" s="1">
        <v>157</v>
      </c>
      <c r="H14" s="3">
        <v>5.0561797752808987E-2</v>
      </c>
      <c r="I14" s="3">
        <v>0.15286624203821655</v>
      </c>
      <c r="J14" s="26" t="s">
        <v>12</v>
      </c>
      <c r="K14" s="26" t="s">
        <v>12</v>
      </c>
      <c r="L14" s="26" t="s">
        <v>13</v>
      </c>
      <c r="M14" s="26" t="s">
        <v>12</v>
      </c>
      <c r="N14" s="1">
        <v>5</v>
      </c>
      <c r="O14" s="29">
        <v>0.2</v>
      </c>
    </row>
    <row r="15" spans="1:15" ht="14.4">
      <c r="A15" s="7">
        <v>1</v>
      </c>
      <c r="B15" s="8" t="s">
        <v>8</v>
      </c>
      <c r="C15" s="8" t="s">
        <v>11</v>
      </c>
      <c r="D15" s="2">
        <v>1.82</v>
      </c>
      <c r="E15" s="2">
        <v>3.94</v>
      </c>
      <c r="F15" s="1">
        <v>178</v>
      </c>
      <c r="G15" s="1">
        <v>178</v>
      </c>
      <c r="H15" s="3">
        <v>5.0561797752808987E-2</v>
      </c>
      <c r="I15" s="3">
        <v>0.34831460674157305</v>
      </c>
      <c r="J15" s="26" t="s">
        <v>12</v>
      </c>
      <c r="K15" s="26" t="s">
        <v>20</v>
      </c>
      <c r="L15" s="26" t="s">
        <v>13</v>
      </c>
      <c r="M15" s="26" t="s">
        <v>12</v>
      </c>
      <c r="N15" s="1">
        <v>5</v>
      </c>
      <c r="O15" s="29">
        <v>0.2</v>
      </c>
    </row>
    <row r="16" spans="1:15" ht="14.4">
      <c r="A16" s="7">
        <v>1</v>
      </c>
      <c r="B16" s="8" t="s">
        <v>9</v>
      </c>
      <c r="C16" s="8" t="s">
        <v>10</v>
      </c>
      <c r="D16" s="2">
        <v>3.19</v>
      </c>
      <c r="E16" s="2">
        <v>3.31</v>
      </c>
      <c r="F16" s="1">
        <v>106</v>
      </c>
      <c r="G16" s="1">
        <v>157</v>
      </c>
      <c r="H16" s="3">
        <v>8.4905660377358486E-2</v>
      </c>
      <c r="I16" s="3">
        <v>0.15286624203821655</v>
      </c>
      <c r="J16" s="26" t="s">
        <v>12</v>
      </c>
      <c r="K16" s="26" t="s">
        <v>12</v>
      </c>
      <c r="L16" s="26" t="s">
        <v>12</v>
      </c>
      <c r="M16" s="26" t="s">
        <v>12</v>
      </c>
      <c r="N16" s="1">
        <v>3</v>
      </c>
      <c r="O16" s="29">
        <v>0.33333333333333331</v>
      </c>
    </row>
    <row r="17" spans="1:15" ht="14.4">
      <c r="A17" s="7">
        <v>1</v>
      </c>
      <c r="B17" s="8" t="s">
        <v>9</v>
      </c>
      <c r="C17" s="8" t="s">
        <v>11</v>
      </c>
      <c r="D17" s="2">
        <v>3.19</v>
      </c>
      <c r="E17" s="2">
        <v>3.94</v>
      </c>
      <c r="F17" s="1">
        <v>106</v>
      </c>
      <c r="G17" s="1">
        <v>178</v>
      </c>
      <c r="H17" s="3">
        <v>8.4905660377358486E-2</v>
      </c>
      <c r="I17" s="3">
        <v>0.34831460674157305</v>
      </c>
      <c r="J17" s="26" t="s">
        <v>12</v>
      </c>
      <c r="K17" s="26" t="s">
        <v>20</v>
      </c>
      <c r="L17" s="26" t="s">
        <v>12</v>
      </c>
      <c r="M17" s="26" t="s">
        <v>12</v>
      </c>
      <c r="N17" s="1">
        <v>3</v>
      </c>
      <c r="O17" s="29">
        <v>0.33333333333333331</v>
      </c>
    </row>
    <row r="18" spans="1:15" ht="15" thickBot="1">
      <c r="A18" s="13">
        <v>1</v>
      </c>
      <c r="B18" s="14" t="s">
        <v>10</v>
      </c>
      <c r="C18" s="14" t="s">
        <v>11</v>
      </c>
      <c r="D18" s="15">
        <v>3.31</v>
      </c>
      <c r="E18" s="15">
        <v>3.94</v>
      </c>
      <c r="F18" s="16">
        <v>157</v>
      </c>
      <c r="G18" s="16">
        <v>178</v>
      </c>
      <c r="H18" s="17">
        <v>0.15286624203821655</v>
      </c>
      <c r="I18" s="17">
        <v>0.34831460674157305</v>
      </c>
      <c r="J18" s="27" t="s">
        <v>13</v>
      </c>
      <c r="K18" s="27" t="s">
        <v>20</v>
      </c>
      <c r="L18" s="27" t="s">
        <v>14</v>
      </c>
      <c r="M18" s="27" t="s">
        <v>12</v>
      </c>
      <c r="N18" s="16">
        <v>3</v>
      </c>
      <c r="O18" s="29">
        <v>0.33333333333333331</v>
      </c>
    </row>
    <row r="19" spans="1:15" ht="6.6" customHeight="1">
      <c r="A19" s="22"/>
      <c r="B19" s="23"/>
      <c r="C19" s="23"/>
      <c r="D19" s="24"/>
      <c r="E19" s="24"/>
      <c r="F19" s="23"/>
      <c r="G19" s="23"/>
      <c r="H19" s="25"/>
      <c r="I19" s="25"/>
      <c r="J19" s="28"/>
      <c r="K19" s="28"/>
      <c r="L19" s="28"/>
      <c r="M19" s="28"/>
      <c r="N19" s="23"/>
      <c r="O19" s="30" t="s">
        <v>30</v>
      </c>
    </row>
    <row r="20" spans="1:15" ht="14.4">
      <c r="A20" s="9">
        <v>2</v>
      </c>
      <c r="B20" s="10" t="s">
        <v>6</v>
      </c>
      <c r="C20" s="10" t="s">
        <v>7</v>
      </c>
      <c r="D20" s="2">
        <v>5.73</v>
      </c>
      <c r="E20" s="2">
        <v>3.9268290000000001</v>
      </c>
      <c r="F20" s="1">
        <v>41</v>
      </c>
      <c r="G20" s="1">
        <v>41</v>
      </c>
      <c r="H20" s="3">
        <v>0.51219512195121952</v>
      </c>
      <c r="I20" s="3">
        <v>0.34146341463414637</v>
      </c>
      <c r="J20" s="26" t="s">
        <v>13</v>
      </c>
      <c r="K20" s="26" t="s">
        <v>12</v>
      </c>
      <c r="L20" s="26" t="s">
        <v>13</v>
      </c>
      <c r="M20" s="26" t="s">
        <v>13</v>
      </c>
      <c r="N20" s="1">
        <v>3</v>
      </c>
      <c r="O20" s="29">
        <v>3</v>
      </c>
    </row>
    <row r="21" spans="1:15" ht="14.4">
      <c r="A21" s="9">
        <v>2</v>
      </c>
      <c r="B21" s="10" t="s">
        <v>6</v>
      </c>
      <c r="C21" s="10" t="s">
        <v>8</v>
      </c>
      <c r="D21" s="2">
        <v>5.73</v>
      </c>
      <c r="E21" s="2">
        <v>1.1000000000000001</v>
      </c>
      <c r="F21" s="1">
        <v>41</v>
      </c>
      <c r="G21" s="1">
        <v>41</v>
      </c>
      <c r="H21" s="3">
        <v>0.51219512195121952</v>
      </c>
      <c r="I21" s="3">
        <v>0</v>
      </c>
      <c r="J21" s="26" t="s">
        <v>13</v>
      </c>
      <c r="K21" s="26" t="s">
        <v>13</v>
      </c>
      <c r="L21" s="26" t="s">
        <v>14</v>
      </c>
      <c r="M21" s="26" t="s">
        <v>13</v>
      </c>
      <c r="N21" s="1">
        <v>7</v>
      </c>
      <c r="O21" s="29">
        <v>7</v>
      </c>
    </row>
    <row r="22" spans="1:15" ht="14.4">
      <c r="A22" s="9">
        <v>2</v>
      </c>
      <c r="B22" s="10" t="s">
        <v>6</v>
      </c>
      <c r="C22" s="10" t="s">
        <v>9</v>
      </c>
      <c r="D22" s="2">
        <v>5.73</v>
      </c>
      <c r="E22" s="2">
        <v>1.49</v>
      </c>
      <c r="F22" s="1">
        <v>41</v>
      </c>
      <c r="G22" s="1">
        <v>41</v>
      </c>
      <c r="H22" s="3">
        <v>0.51219512195121952</v>
      </c>
      <c r="I22" s="3">
        <v>0</v>
      </c>
      <c r="J22" s="26" t="s">
        <v>13</v>
      </c>
      <c r="K22" s="26" t="s">
        <v>13</v>
      </c>
      <c r="L22" s="26" t="s">
        <v>14</v>
      </c>
      <c r="M22" s="26" t="s">
        <v>13</v>
      </c>
      <c r="N22" s="1">
        <v>7</v>
      </c>
      <c r="O22" s="29">
        <v>7</v>
      </c>
    </row>
    <row r="23" spans="1:15" ht="14.4">
      <c r="A23" s="9">
        <v>2</v>
      </c>
      <c r="B23" s="10" t="s">
        <v>6</v>
      </c>
      <c r="C23" s="10" t="s">
        <v>10</v>
      </c>
      <c r="D23" s="2">
        <v>5.73</v>
      </c>
      <c r="E23" s="2">
        <v>6.66</v>
      </c>
      <c r="F23" s="1">
        <v>41</v>
      </c>
      <c r="G23" s="1">
        <v>41</v>
      </c>
      <c r="H23" s="3">
        <v>0.51219512195121952</v>
      </c>
      <c r="I23" s="3">
        <v>0.73170731707317072</v>
      </c>
      <c r="J23" s="26" t="s">
        <v>13</v>
      </c>
      <c r="K23" s="26" t="s">
        <v>12</v>
      </c>
      <c r="L23" s="26" t="s">
        <v>13</v>
      </c>
      <c r="M23" s="26" t="s">
        <v>12</v>
      </c>
      <c r="N23" s="1">
        <v>3</v>
      </c>
      <c r="O23" s="29">
        <v>0.33333333333333331</v>
      </c>
    </row>
    <row r="24" spans="1:15" ht="14.4">
      <c r="A24" s="9">
        <v>2</v>
      </c>
      <c r="B24" s="10" t="s">
        <v>6</v>
      </c>
      <c r="C24" s="10" t="s">
        <v>11</v>
      </c>
      <c r="D24" s="2">
        <v>5.73</v>
      </c>
      <c r="E24" s="2">
        <v>3.05</v>
      </c>
      <c r="F24" s="1">
        <v>41</v>
      </c>
      <c r="G24" s="1">
        <v>41</v>
      </c>
      <c r="H24" s="3">
        <v>0.51219512195121952</v>
      </c>
      <c r="I24" s="3">
        <v>0.14634146341463414</v>
      </c>
      <c r="J24" s="26" t="s">
        <v>13</v>
      </c>
      <c r="K24" s="26" t="s">
        <v>20</v>
      </c>
      <c r="L24" s="26" t="s">
        <v>13</v>
      </c>
      <c r="M24" s="26" t="s">
        <v>13</v>
      </c>
      <c r="N24" s="1">
        <v>5</v>
      </c>
      <c r="O24" s="29">
        <v>5</v>
      </c>
    </row>
    <row r="25" spans="1:15" ht="14.4">
      <c r="A25" s="9">
        <v>2</v>
      </c>
      <c r="B25" s="10" t="s">
        <v>7</v>
      </c>
      <c r="C25" s="10" t="s">
        <v>8</v>
      </c>
      <c r="D25" s="2">
        <v>3.9268290000000001</v>
      </c>
      <c r="E25" s="2">
        <v>1.1000000000000001</v>
      </c>
      <c r="F25" s="1">
        <v>41</v>
      </c>
      <c r="G25" s="1">
        <v>41</v>
      </c>
      <c r="H25" s="3">
        <v>0.34146341463414637</v>
      </c>
      <c r="I25" s="3">
        <v>0</v>
      </c>
      <c r="J25" s="26" t="s">
        <v>13</v>
      </c>
      <c r="K25" s="26" t="s">
        <v>13</v>
      </c>
      <c r="L25" s="26" t="s">
        <v>12</v>
      </c>
      <c r="M25" s="26" t="s">
        <v>13</v>
      </c>
      <c r="N25" s="1">
        <v>5</v>
      </c>
      <c r="O25" s="29">
        <v>5</v>
      </c>
    </row>
    <row r="26" spans="1:15" ht="14.4">
      <c r="A26" s="9">
        <v>2</v>
      </c>
      <c r="B26" s="10" t="s">
        <v>7</v>
      </c>
      <c r="C26" s="10" t="s">
        <v>9</v>
      </c>
      <c r="D26" s="2">
        <v>3.9268290000000001</v>
      </c>
      <c r="E26" s="2">
        <v>1.49</v>
      </c>
      <c r="F26" s="1">
        <v>41</v>
      </c>
      <c r="G26" s="1">
        <v>41</v>
      </c>
      <c r="H26" s="3">
        <v>0.34146341463414637</v>
      </c>
      <c r="I26" s="3">
        <v>0</v>
      </c>
      <c r="J26" s="26" t="s">
        <v>13</v>
      </c>
      <c r="K26" s="26" t="s">
        <v>13</v>
      </c>
      <c r="L26" s="26" t="s">
        <v>12</v>
      </c>
      <c r="M26" s="26" t="s">
        <v>13</v>
      </c>
      <c r="N26" s="1">
        <v>5</v>
      </c>
      <c r="O26" s="29">
        <v>5</v>
      </c>
    </row>
    <row r="27" spans="1:15" ht="14.4">
      <c r="A27" s="9">
        <v>2</v>
      </c>
      <c r="B27" s="10" t="s">
        <v>7</v>
      </c>
      <c r="C27" s="10" t="s">
        <v>10</v>
      </c>
      <c r="D27" s="2">
        <v>3.9268290000000001</v>
      </c>
      <c r="E27" s="2">
        <v>6.66</v>
      </c>
      <c r="F27" s="1">
        <v>41</v>
      </c>
      <c r="G27" s="1">
        <v>41</v>
      </c>
      <c r="H27" s="3">
        <v>0.34146341463414637</v>
      </c>
      <c r="I27" s="3">
        <v>0.73170731707317072</v>
      </c>
      <c r="J27" s="26" t="s">
        <v>12</v>
      </c>
      <c r="K27" s="26" t="s">
        <v>14</v>
      </c>
      <c r="L27" s="26" t="s">
        <v>14</v>
      </c>
      <c r="M27" s="26" t="s">
        <v>12</v>
      </c>
      <c r="N27" s="1">
        <v>5</v>
      </c>
      <c r="O27" s="29">
        <v>0.2</v>
      </c>
    </row>
    <row r="28" spans="1:15" ht="14.4">
      <c r="A28" s="9">
        <v>2</v>
      </c>
      <c r="B28" s="10" t="s">
        <v>7</v>
      </c>
      <c r="C28" s="10" t="s">
        <v>11</v>
      </c>
      <c r="D28" s="2">
        <v>3.9268290000000001</v>
      </c>
      <c r="E28" s="2">
        <v>3.05</v>
      </c>
      <c r="F28" s="1">
        <v>41</v>
      </c>
      <c r="G28" s="1">
        <v>41</v>
      </c>
      <c r="H28" s="3">
        <v>0.34146341463414637</v>
      </c>
      <c r="I28" s="3">
        <v>0.14634146341463414</v>
      </c>
      <c r="J28" s="26" t="s">
        <v>13</v>
      </c>
      <c r="K28" s="26" t="s">
        <v>20</v>
      </c>
      <c r="L28" s="26" t="s">
        <v>14</v>
      </c>
      <c r="M28" s="26" t="s">
        <v>13</v>
      </c>
      <c r="N28" s="1">
        <v>3</v>
      </c>
      <c r="O28" s="29">
        <v>3</v>
      </c>
    </row>
    <row r="29" spans="1:15" ht="14.4">
      <c r="A29" s="9">
        <v>2</v>
      </c>
      <c r="B29" s="10" t="s">
        <v>8</v>
      </c>
      <c r="C29" s="10" t="s">
        <v>9</v>
      </c>
      <c r="D29" s="2">
        <v>1.1000000000000001</v>
      </c>
      <c r="E29" s="2">
        <v>1.49</v>
      </c>
      <c r="F29" s="1">
        <v>41</v>
      </c>
      <c r="G29" s="1">
        <v>41</v>
      </c>
      <c r="H29" s="3">
        <v>0</v>
      </c>
      <c r="I29" s="3">
        <v>0</v>
      </c>
      <c r="J29" s="26" t="s">
        <v>14</v>
      </c>
      <c r="K29" s="26" t="s">
        <v>20</v>
      </c>
      <c r="L29" s="26" t="s">
        <v>14</v>
      </c>
      <c r="M29" s="26" t="s">
        <v>14</v>
      </c>
      <c r="N29" s="1">
        <v>1</v>
      </c>
      <c r="O29" s="29">
        <v>1</v>
      </c>
    </row>
    <row r="30" spans="1:15" ht="14.4">
      <c r="A30" s="9">
        <v>2</v>
      </c>
      <c r="B30" s="10" t="s">
        <v>8</v>
      </c>
      <c r="C30" s="10" t="s">
        <v>10</v>
      </c>
      <c r="D30" s="2">
        <v>1.1000000000000001</v>
      </c>
      <c r="E30" s="2">
        <v>6.66</v>
      </c>
      <c r="F30" s="1">
        <v>41</v>
      </c>
      <c r="G30" s="1">
        <v>41</v>
      </c>
      <c r="H30" s="3">
        <v>0</v>
      </c>
      <c r="I30" s="3">
        <v>0.73170731707317072</v>
      </c>
      <c r="J30" s="26" t="s">
        <v>12</v>
      </c>
      <c r="K30" s="26" t="s">
        <v>12</v>
      </c>
      <c r="L30" s="26" t="s">
        <v>13</v>
      </c>
      <c r="M30" s="26" t="s">
        <v>12</v>
      </c>
      <c r="N30" s="1">
        <v>7</v>
      </c>
      <c r="O30" s="29">
        <v>0.14285714285714285</v>
      </c>
    </row>
    <row r="31" spans="1:15" ht="14.4">
      <c r="A31" s="9">
        <v>2</v>
      </c>
      <c r="B31" s="10" t="s">
        <v>8</v>
      </c>
      <c r="C31" s="10" t="s">
        <v>11</v>
      </c>
      <c r="D31" s="2">
        <v>1.1000000000000001</v>
      </c>
      <c r="E31" s="2">
        <v>3.05</v>
      </c>
      <c r="F31" s="1">
        <v>41</v>
      </c>
      <c r="G31" s="1">
        <v>41</v>
      </c>
      <c r="H31" s="3">
        <v>0</v>
      </c>
      <c r="I31" s="3">
        <v>0.14634146341463414</v>
      </c>
      <c r="J31" s="26" t="s">
        <v>12</v>
      </c>
      <c r="K31" s="26" t="s">
        <v>20</v>
      </c>
      <c r="L31" s="26" t="s">
        <v>13</v>
      </c>
      <c r="M31" s="26" t="s">
        <v>12</v>
      </c>
      <c r="N31" s="1">
        <v>3</v>
      </c>
      <c r="O31" s="29">
        <v>0.33333333333333331</v>
      </c>
    </row>
    <row r="32" spans="1:15" ht="14.4">
      <c r="A32" s="9">
        <v>2</v>
      </c>
      <c r="B32" s="10" t="s">
        <v>9</v>
      </c>
      <c r="C32" s="10" t="s">
        <v>10</v>
      </c>
      <c r="D32" s="2">
        <v>1.49</v>
      </c>
      <c r="E32" s="2">
        <v>6.66</v>
      </c>
      <c r="F32" s="1">
        <v>41</v>
      </c>
      <c r="G32" s="1">
        <v>41</v>
      </c>
      <c r="H32" s="3">
        <v>0</v>
      </c>
      <c r="I32" s="3">
        <v>0.73170731707317072</v>
      </c>
      <c r="J32" s="26" t="s">
        <v>12</v>
      </c>
      <c r="K32" s="26" t="s">
        <v>12</v>
      </c>
      <c r="L32" s="26" t="s">
        <v>13</v>
      </c>
      <c r="M32" s="26" t="s">
        <v>12</v>
      </c>
      <c r="N32" s="1">
        <v>7</v>
      </c>
      <c r="O32" s="29">
        <v>0.14285714285714285</v>
      </c>
    </row>
    <row r="33" spans="1:15" ht="14.4">
      <c r="A33" s="9">
        <v>2</v>
      </c>
      <c r="B33" s="10" t="s">
        <v>9</v>
      </c>
      <c r="C33" s="10" t="s">
        <v>11</v>
      </c>
      <c r="D33" s="2">
        <v>1.49</v>
      </c>
      <c r="E33" s="2">
        <v>3.05</v>
      </c>
      <c r="F33" s="1">
        <v>41</v>
      </c>
      <c r="G33" s="1">
        <v>41</v>
      </c>
      <c r="H33" s="3">
        <v>0</v>
      </c>
      <c r="I33" s="3">
        <v>0.14634146341463414</v>
      </c>
      <c r="J33" s="26" t="s">
        <v>12</v>
      </c>
      <c r="K33" s="26" t="s">
        <v>20</v>
      </c>
      <c r="L33" s="26" t="s">
        <v>13</v>
      </c>
      <c r="M33" s="26" t="s">
        <v>12</v>
      </c>
      <c r="N33" s="1">
        <v>3</v>
      </c>
      <c r="O33" s="29">
        <v>0.33333333333333331</v>
      </c>
    </row>
    <row r="34" spans="1:15" ht="15" thickBot="1">
      <c r="A34" s="18">
        <v>2</v>
      </c>
      <c r="B34" s="19" t="s">
        <v>10</v>
      </c>
      <c r="C34" s="19" t="s">
        <v>11</v>
      </c>
      <c r="D34" s="15">
        <v>6.66</v>
      </c>
      <c r="E34" s="15">
        <v>3.05</v>
      </c>
      <c r="F34" s="16">
        <v>41</v>
      </c>
      <c r="G34" s="16">
        <v>41</v>
      </c>
      <c r="H34" s="17">
        <v>0.73170731707317072</v>
      </c>
      <c r="I34" s="17">
        <v>0.14634146341463414</v>
      </c>
      <c r="J34" s="27" t="s">
        <v>13</v>
      </c>
      <c r="K34" s="27" t="s">
        <v>20</v>
      </c>
      <c r="L34" s="27" t="s">
        <v>14</v>
      </c>
      <c r="M34" s="27" t="s">
        <v>13</v>
      </c>
      <c r="N34" s="16">
        <v>5</v>
      </c>
      <c r="O34" s="29">
        <v>5</v>
      </c>
    </row>
    <row r="35" spans="1:15" ht="7.8" customHeight="1">
      <c r="A35" s="22"/>
      <c r="B35" s="23"/>
      <c r="C35" s="23"/>
      <c r="D35" s="24"/>
      <c r="E35" s="24"/>
      <c r="F35" s="23"/>
      <c r="G35" s="23"/>
      <c r="H35" s="25"/>
      <c r="I35" s="25"/>
      <c r="J35" s="28"/>
      <c r="K35" s="28"/>
      <c r="L35" s="28"/>
      <c r="M35" s="28"/>
      <c r="N35" s="23"/>
      <c r="O35" s="30" t="s">
        <v>30</v>
      </c>
    </row>
    <row r="36" spans="1:15" ht="14.4">
      <c r="A36" s="11">
        <v>3</v>
      </c>
      <c r="B36" s="12" t="s">
        <v>6</v>
      </c>
      <c r="C36" s="12" t="s">
        <v>7</v>
      </c>
      <c r="D36" s="2">
        <v>5</v>
      </c>
      <c r="E36" s="2">
        <v>4.548387</v>
      </c>
      <c r="F36" s="1">
        <v>31</v>
      </c>
      <c r="G36" s="1">
        <v>31</v>
      </c>
      <c r="H36" s="3">
        <v>0.32258064516129031</v>
      </c>
      <c r="I36" s="3">
        <v>0.38709677419354838</v>
      </c>
      <c r="J36" s="26" t="s">
        <v>13</v>
      </c>
      <c r="K36" s="26" t="s">
        <v>14</v>
      </c>
      <c r="L36" s="26" t="s">
        <v>13</v>
      </c>
      <c r="M36" s="26" t="s">
        <v>13</v>
      </c>
      <c r="N36" s="1">
        <v>3</v>
      </c>
      <c r="O36" s="29">
        <v>3</v>
      </c>
    </row>
    <row r="37" spans="1:15" ht="14.4">
      <c r="A37" s="11">
        <v>3</v>
      </c>
      <c r="B37" s="12" t="s">
        <v>6</v>
      </c>
      <c r="C37" s="12" t="s">
        <v>8</v>
      </c>
      <c r="D37" s="2">
        <v>5</v>
      </c>
      <c r="E37" s="2">
        <v>2.94</v>
      </c>
      <c r="F37" s="1">
        <v>31</v>
      </c>
      <c r="G37" s="1">
        <v>31</v>
      </c>
      <c r="H37" s="3">
        <v>0.32258064516129031</v>
      </c>
      <c r="I37" s="3">
        <v>9.6774193548387094E-2</v>
      </c>
      <c r="J37" s="26" t="s">
        <v>13</v>
      </c>
      <c r="K37" s="26" t="s">
        <v>14</v>
      </c>
      <c r="L37" s="26" t="s">
        <v>14</v>
      </c>
      <c r="M37" s="26" t="s">
        <v>13</v>
      </c>
      <c r="N37" s="1">
        <v>5</v>
      </c>
      <c r="O37" s="29">
        <v>5</v>
      </c>
    </row>
    <row r="38" spans="1:15" ht="14.4">
      <c r="A38" s="11">
        <v>3</v>
      </c>
      <c r="B38" s="12" t="s">
        <v>6</v>
      </c>
      <c r="C38" s="12" t="s">
        <v>9</v>
      </c>
      <c r="D38" s="2">
        <v>5</v>
      </c>
      <c r="E38" s="2">
        <v>4.38</v>
      </c>
      <c r="F38" s="1">
        <v>31</v>
      </c>
      <c r="G38" s="1">
        <v>26</v>
      </c>
      <c r="H38" s="3">
        <v>0.32258064516129031</v>
      </c>
      <c r="I38" s="3">
        <v>0.23076923076923078</v>
      </c>
      <c r="J38" s="26" t="s">
        <v>13</v>
      </c>
      <c r="K38" s="26" t="s">
        <v>12</v>
      </c>
      <c r="L38" s="26" t="s">
        <v>13</v>
      </c>
      <c r="M38" s="26" t="s">
        <v>13</v>
      </c>
      <c r="N38" s="1">
        <v>3</v>
      </c>
      <c r="O38" s="29">
        <v>3</v>
      </c>
    </row>
    <row r="39" spans="1:15" ht="14.4">
      <c r="A39" s="11">
        <v>3</v>
      </c>
      <c r="B39" s="12" t="s">
        <v>6</v>
      </c>
      <c r="C39" s="12" t="s">
        <v>10</v>
      </c>
      <c r="D39" s="2">
        <v>5</v>
      </c>
      <c r="E39" s="2">
        <v>5.97</v>
      </c>
      <c r="F39" s="1">
        <v>31</v>
      </c>
      <c r="G39" s="1">
        <v>31</v>
      </c>
      <c r="H39" s="3">
        <v>0.32258064516129031</v>
      </c>
      <c r="I39" s="4">
        <v>0.64516129032258063</v>
      </c>
      <c r="J39" s="26" t="s">
        <v>12</v>
      </c>
      <c r="K39" s="26" t="s">
        <v>12</v>
      </c>
      <c r="L39" s="26" t="s">
        <v>13</v>
      </c>
      <c r="M39" s="26" t="s">
        <v>12</v>
      </c>
      <c r="N39" s="1">
        <v>5</v>
      </c>
      <c r="O39" s="29">
        <v>0.2</v>
      </c>
    </row>
    <row r="40" spans="1:15" ht="14.4">
      <c r="A40" s="11">
        <v>3</v>
      </c>
      <c r="B40" s="12" t="s">
        <v>6</v>
      </c>
      <c r="C40" s="12" t="s">
        <v>11</v>
      </c>
      <c r="D40" s="2">
        <v>5</v>
      </c>
      <c r="E40" s="2">
        <v>3.71</v>
      </c>
      <c r="F40" s="1">
        <v>31</v>
      </c>
      <c r="G40" s="1">
        <v>31</v>
      </c>
      <c r="H40" s="3">
        <v>0.32258064516129031</v>
      </c>
      <c r="I40" s="3">
        <v>9.6774193548387094E-2</v>
      </c>
      <c r="J40" s="26" t="s">
        <v>13</v>
      </c>
      <c r="K40" s="26" t="s">
        <v>20</v>
      </c>
      <c r="L40" s="26" t="s">
        <v>13</v>
      </c>
      <c r="M40" s="26" t="s">
        <v>13</v>
      </c>
      <c r="N40" s="1">
        <v>5</v>
      </c>
      <c r="O40" s="29">
        <v>5</v>
      </c>
    </row>
    <row r="41" spans="1:15" ht="14.4">
      <c r="A41" s="11">
        <v>3</v>
      </c>
      <c r="B41" s="12" t="s">
        <v>7</v>
      </c>
      <c r="C41" s="12" t="s">
        <v>8</v>
      </c>
      <c r="D41" s="2">
        <v>4.548387</v>
      </c>
      <c r="E41" s="2">
        <v>2.94</v>
      </c>
      <c r="F41" s="1">
        <v>31</v>
      </c>
      <c r="G41" s="1">
        <v>31</v>
      </c>
      <c r="H41" s="3">
        <v>0.38709677419354838</v>
      </c>
      <c r="I41" s="3">
        <v>9.6774193548387094E-2</v>
      </c>
      <c r="J41" s="26" t="s">
        <v>13</v>
      </c>
      <c r="K41" s="26" t="s">
        <v>14</v>
      </c>
      <c r="L41" s="26" t="s">
        <v>12</v>
      </c>
      <c r="M41" s="26" t="s">
        <v>13</v>
      </c>
      <c r="N41" s="1">
        <v>3</v>
      </c>
      <c r="O41" s="29">
        <v>3</v>
      </c>
    </row>
    <row r="42" spans="1:15" ht="14.4">
      <c r="A42" s="11">
        <v>3</v>
      </c>
      <c r="B42" s="12" t="s">
        <v>7</v>
      </c>
      <c r="C42" s="12" t="s">
        <v>9</v>
      </c>
      <c r="D42" s="2">
        <v>4.548387</v>
      </c>
      <c r="E42" s="2">
        <v>4.38</v>
      </c>
      <c r="F42" s="1">
        <v>31</v>
      </c>
      <c r="G42" s="1">
        <v>26</v>
      </c>
      <c r="H42" s="3">
        <v>0.38709677419354838</v>
      </c>
      <c r="I42" s="3">
        <v>0.23076923076923078</v>
      </c>
      <c r="J42" s="26" t="s">
        <v>12</v>
      </c>
      <c r="K42" s="26" t="s">
        <v>12</v>
      </c>
      <c r="L42" s="26" t="s">
        <v>13</v>
      </c>
      <c r="M42" s="26" t="s">
        <v>14</v>
      </c>
      <c r="N42" s="1">
        <v>1</v>
      </c>
      <c r="O42" s="29">
        <v>1</v>
      </c>
    </row>
    <row r="43" spans="1:15" ht="14.4">
      <c r="A43" s="11">
        <v>3</v>
      </c>
      <c r="B43" s="12" t="s">
        <v>7</v>
      </c>
      <c r="C43" s="12" t="s">
        <v>10</v>
      </c>
      <c r="D43" s="2">
        <v>4.548387</v>
      </c>
      <c r="E43" s="2">
        <v>5.97</v>
      </c>
      <c r="F43" s="1">
        <v>31</v>
      </c>
      <c r="G43" s="1">
        <v>31</v>
      </c>
      <c r="H43" s="3">
        <v>0.38709677419354838</v>
      </c>
      <c r="I43" s="4">
        <v>0.64516129032258063</v>
      </c>
      <c r="J43" s="26" t="s">
        <v>12</v>
      </c>
      <c r="K43" s="26" t="s">
        <v>12</v>
      </c>
      <c r="L43" s="26" t="s">
        <v>14</v>
      </c>
      <c r="M43" s="26" t="s">
        <v>12</v>
      </c>
      <c r="N43" s="1">
        <v>5</v>
      </c>
      <c r="O43" s="29">
        <v>0.2</v>
      </c>
    </row>
    <row r="44" spans="1:15" ht="14.4">
      <c r="A44" s="11">
        <v>3</v>
      </c>
      <c r="B44" s="12" t="s">
        <v>7</v>
      </c>
      <c r="C44" s="12" t="s">
        <v>11</v>
      </c>
      <c r="D44" s="2">
        <v>4.548387</v>
      </c>
      <c r="E44" s="2">
        <v>3.71</v>
      </c>
      <c r="F44" s="1">
        <v>31</v>
      </c>
      <c r="G44" s="1">
        <v>31</v>
      </c>
      <c r="H44" s="3">
        <v>0.38709677419354838</v>
      </c>
      <c r="I44" s="3">
        <v>9.6774193548387094E-2</v>
      </c>
      <c r="J44" s="26" t="s">
        <v>13</v>
      </c>
      <c r="K44" s="26" t="s">
        <v>20</v>
      </c>
      <c r="L44" s="26" t="s">
        <v>14</v>
      </c>
      <c r="M44" s="26" t="s">
        <v>13</v>
      </c>
      <c r="N44" s="1">
        <v>3</v>
      </c>
      <c r="O44" s="29">
        <v>3</v>
      </c>
    </row>
    <row r="45" spans="1:15" ht="14.4">
      <c r="A45" s="11">
        <v>3</v>
      </c>
      <c r="B45" s="12" t="s">
        <v>8</v>
      </c>
      <c r="C45" s="12" t="s">
        <v>9</v>
      </c>
      <c r="D45" s="2">
        <v>2.94</v>
      </c>
      <c r="E45" s="2">
        <v>4.38</v>
      </c>
      <c r="F45" s="1">
        <v>31</v>
      </c>
      <c r="G45" s="1">
        <v>26</v>
      </c>
      <c r="H45" s="3">
        <v>9.6774193548387094E-2</v>
      </c>
      <c r="I45" s="3">
        <v>0.23076923076923078</v>
      </c>
      <c r="J45" s="26" t="s">
        <v>12</v>
      </c>
      <c r="K45" s="26" t="s">
        <v>12</v>
      </c>
      <c r="L45" s="26" t="s">
        <v>13</v>
      </c>
      <c r="M45" s="26" t="s">
        <v>12</v>
      </c>
      <c r="N45" s="1">
        <v>3</v>
      </c>
      <c r="O45" s="29">
        <v>0.33333333333333331</v>
      </c>
    </row>
    <row r="46" spans="1:15" ht="14.4">
      <c r="A46" s="11">
        <v>3</v>
      </c>
      <c r="B46" s="12" t="s">
        <v>8</v>
      </c>
      <c r="C46" s="12" t="s">
        <v>10</v>
      </c>
      <c r="D46" s="2">
        <v>2.94</v>
      </c>
      <c r="E46" s="2">
        <v>5.97</v>
      </c>
      <c r="F46" s="1">
        <v>31</v>
      </c>
      <c r="G46" s="1">
        <v>31</v>
      </c>
      <c r="H46" s="3">
        <v>9.6774193548387094E-2</v>
      </c>
      <c r="I46" s="4">
        <v>0.64516129032258063</v>
      </c>
      <c r="J46" s="26" t="s">
        <v>12</v>
      </c>
      <c r="K46" s="26" t="s">
        <v>12</v>
      </c>
      <c r="L46" s="26" t="s">
        <v>13</v>
      </c>
      <c r="M46" s="26" t="s">
        <v>12</v>
      </c>
      <c r="N46" s="1">
        <v>7</v>
      </c>
      <c r="O46" s="29">
        <v>0.14285714285714285</v>
      </c>
    </row>
    <row r="47" spans="1:15" ht="14.4">
      <c r="A47" s="11">
        <v>3</v>
      </c>
      <c r="B47" s="12" t="s">
        <v>8</v>
      </c>
      <c r="C47" s="12" t="s">
        <v>11</v>
      </c>
      <c r="D47" s="2">
        <v>2.94</v>
      </c>
      <c r="E47" s="2">
        <v>3.71</v>
      </c>
      <c r="F47" s="1">
        <v>31</v>
      </c>
      <c r="G47" s="1">
        <v>31</v>
      </c>
      <c r="H47" s="3">
        <v>9.6774193548387094E-2</v>
      </c>
      <c r="I47" s="3">
        <v>9.6774193548387094E-2</v>
      </c>
      <c r="J47" s="26" t="s">
        <v>14</v>
      </c>
      <c r="K47" s="26" t="s">
        <v>20</v>
      </c>
      <c r="L47" s="26" t="s">
        <v>13</v>
      </c>
      <c r="M47" s="26" t="s">
        <v>12</v>
      </c>
      <c r="N47" s="1">
        <v>3</v>
      </c>
      <c r="O47" s="29">
        <v>0.33333333333333331</v>
      </c>
    </row>
    <row r="48" spans="1:15" ht="14.4">
      <c r="A48" s="11">
        <v>3</v>
      </c>
      <c r="B48" s="12" t="s">
        <v>9</v>
      </c>
      <c r="C48" s="12" t="s">
        <v>10</v>
      </c>
      <c r="D48" s="2">
        <v>4.38</v>
      </c>
      <c r="E48" s="2">
        <v>5.97</v>
      </c>
      <c r="F48" s="1">
        <v>26</v>
      </c>
      <c r="G48" s="1">
        <v>31</v>
      </c>
      <c r="H48" s="3">
        <v>0.23076923076923078</v>
      </c>
      <c r="I48" s="4">
        <v>0.64516129032258063</v>
      </c>
      <c r="J48" s="26" t="s">
        <v>12</v>
      </c>
      <c r="K48" s="26" t="s">
        <v>14</v>
      </c>
      <c r="L48" s="26" t="s">
        <v>12</v>
      </c>
      <c r="M48" s="26" t="s">
        <v>12</v>
      </c>
      <c r="N48" s="1">
        <v>5</v>
      </c>
      <c r="O48" s="29">
        <v>0.2</v>
      </c>
    </row>
    <row r="49" spans="1:15" ht="14.4">
      <c r="A49" s="11">
        <v>3</v>
      </c>
      <c r="B49" s="12" t="s">
        <v>9</v>
      </c>
      <c r="C49" s="12" t="s">
        <v>11</v>
      </c>
      <c r="D49" s="2">
        <v>4.38</v>
      </c>
      <c r="E49" s="2">
        <v>3.71</v>
      </c>
      <c r="F49" s="1">
        <v>26</v>
      </c>
      <c r="G49" s="1">
        <v>31</v>
      </c>
      <c r="H49" s="3">
        <v>0.23076923076923078</v>
      </c>
      <c r="I49" s="3">
        <v>9.6774193548387094E-2</v>
      </c>
      <c r="J49" s="26" t="s">
        <v>13</v>
      </c>
      <c r="K49" s="26" t="s">
        <v>20</v>
      </c>
      <c r="L49" s="26" t="s">
        <v>12</v>
      </c>
      <c r="M49" s="26" t="s">
        <v>13</v>
      </c>
      <c r="N49" s="1">
        <v>3</v>
      </c>
      <c r="O49" s="29">
        <v>3</v>
      </c>
    </row>
    <row r="50" spans="1:15" ht="15" thickBot="1">
      <c r="A50" s="20">
        <v>3</v>
      </c>
      <c r="B50" s="21" t="s">
        <v>10</v>
      </c>
      <c r="C50" s="21" t="s">
        <v>11</v>
      </c>
      <c r="D50" s="15">
        <v>5.97</v>
      </c>
      <c r="E50" s="15">
        <v>3.71</v>
      </c>
      <c r="F50" s="16">
        <v>31</v>
      </c>
      <c r="G50" s="16">
        <v>31</v>
      </c>
      <c r="H50" s="17">
        <v>0.64516129032258063</v>
      </c>
      <c r="I50" s="17">
        <v>9.6774193548387094E-2</v>
      </c>
      <c r="J50" s="27" t="s">
        <v>13</v>
      </c>
      <c r="K50" s="27" t="s">
        <v>20</v>
      </c>
      <c r="L50" s="27" t="s">
        <v>14</v>
      </c>
      <c r="M50" s="27" t="s">
        <v>13</v>
      </c>
      <c r="N50" s="16">
        <v>5</v>
      </c>
      <c r="O50" s="29">
        <v>5</v>
      </c>
    </row>
    <row r="51" spans="1:15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s="31" customFormat="1" ht="44.4" customHeight="1">
      <c r="A52" s="46" t="s">
        <v>36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  <row r="53" spans="1:15" ht="14.4">
      <c r="B53" s="1"/>
    </row>
  </sheetData>
  <mergeCells count="2">
    <mergeCell ref="A1:O1"/>
    <mergeCell ref="A52:O52"/>
  </mergeCells>
  <conditionalFormatting sqref="O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sqref="M4:M50" xr:uid="{00000000-0002-0000-0000-000004000000}">
      <formula1>"A,Equal,B"</formula1>
    </dataValidation>
    <dataValidation type="list" sqref="N4:N50" xr:uid="{00000000-0002-0000-0000-000005000000}">
      <formula1>"1,3,5,7,9"</formula1>
    </dataValidation>
    <dataValidation type="list" sqref="J4:L50" xr:uid="{00000000-0002-0000-0000-000000000000}">
      <formula1>"A,Similar,B,Uncertain"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0699-ABF2-48B7-BFCC-34C9A14B2158}">
  <dimension ref="A1:G20"/>
  <sheetViews>
    <sheetView zoomScale="130" zoomScaleNormal="130" workbookViewId="0">
      <selection activeCell="D3" sqref="D3"/>
    </sheetView>
  </sheetViews>
  <sheetFormatPr defaultRowHeight="13.8"/>
  <cols>
    <col min="1" max="1" width="6.19921875" customWidth="1"/>
    <col min="2" max="2" width="11.19921875" customWidth="1"/>
    <col min="3" max="3" width="10" customWidth="1"/>
    <col min="4" max="4" width="15" customWidth="1"/>
    <col min="5" max="5" width="15.3984375" customWidth="1"/>
    <col min="6" max="6" width="12.3984375" customWidth="1"/>
    <col min="7" max="7" width="11.09765625" customWidth="1"/>
    <col min="8" max="8" width="13.5" customWidth="1"/>
    <col min="9" max="9" width="11.59765625" customWidth="1"/>
    <col min="10" max="10" width="12.5" customWidth="1"/>
    <col min="11" max="11" width="10.19921875" customWidth="1"/>
    <col min="12" max="12" width="13.19921875" customWidth="1"/>
    <col min="13" max="13" width="11.8984375" customWidth="1"/>
  </cols>
  <sheetData>
    <row r="1" spans="1:5" ht="70.8" customHeight="1">
      <c r="A1" s="32" t="s">
        <v>0</v>
      </c>
      <c r="B1" s="38" t="s">
        <v>15</v>
      </c>
      <c r="C1" s="37" t="s">
        <v>31</v>
      </c>
      <c r="D1" s="37" t="s">
        <v>32</v>
      </c>
      <c r="E1" s="37" t="s">
        <v>33</v>
      </c>
    </row>
    <row r="2" spans="1:5" ht="14.4">
      <c r="A2" s="33">
        <v>1</v>
      </c>
      <c r="B2" s="40" t="s">
        <v>16</v>
      </c>
      <c r="C2" s="41">
        <v>66</v>
      </c>
      <c r="D2" s="41">
        <v>15</v>
      </c>
      <c r="E2" s="2">
        <f>(D2/C2)*100</f>
        <v>22.727272727272727</v>
      </c>
    </row>
    <row r="3" spans="1:5" ht="14.4">
      <c r="A3" s="33">
        <v>1</v>
      </c>
      <c r="B3" s="40" t="s">
        <v>17</v>
      </c>
      <c r="C3" s="41">
        <v>56</v>
      </c>
      <c r="D3" s="41">
        <v>17</v>
      </c>
      <c r="E3" s="2">
        <f t="shared" ref="E3:E6" si="0">(D3/C3)*100</f>
        <v>30.357142857142854</v>
      </c>
    </row>
    <row r="4" spans="1:5" ht="14.4">
      <c r="A4" s="33">
        <v>1</v>
      </c>
      <c r="B4" s="40" t="s">
        <v>18</v>
      </c>
      <c r="C4" s="41">
        <v>9</v>
      </c>
      <c r="D4" s="41">
        <v>1</v>
      </c>
      <c r="E4" s="2">
        <f t="shared" si="0"/>
        <v>11.111111111111111</v>
      </c>
    </row>
    <row r="5" spans="1:5" ht="14.4">
      <c r="A5" s="33">
        <v>1</v>
      </c>
      <c r="B5" s="40" t="s">
        <v>9</v>
      </c>
      <c r="C5" s="41">
        <v>9</v>
      </c>
      <c r="D5" s="41">
        <v>2</v>
      </c>
      <c r="E5" s="2">
        <f t="shared" si="0"/>
        <v>22.222222222222221</v>
      </c>
    </row>
    <row r="6" spans="1:5" ht="14.4">
      <c r="A6" s="33">
        <v>1</v>
      </c>
      <c r="B6" s="40" t="s">
        <v>19</v>
      </c>
      <c r="C6" s="41">
        <v>24</v>
      </c>
      <c r="D6" s="41">
        <v>8</v>
      </c>
      <c r="E6" s="2">
        <f t="shared" si="0"/>
        <v>33.333333333333329</v>
      </c>
    </row>
    <row r="7" spans="1:5" ht="7.8" customHeight="1">
      <c r="A7" s="36"/>
      <c r="B7" s="42"/>
      <c r="C7" s="42"/>
      <c r="D7" s="42"/>
      <c r="E7" s="42"/>
    </row>
    <row r="8" spans="1:5" ht="14.4">
      <c r="A8" s="34">
        <v>2</v>
      </c>
      <c r="B8" s="43" t="s">
        <v>16</v>
      </c>
      <c r="C8" s="41">
        <v>21</v>
      </c>
      <c r="D8" s="41">
        <v>1</v>
      </c>
      <c r="E8" s="2">
        <f>(D8/C8)*100</f>
        <v>4.7619047619047619</v>
      </c>
    </row>
    <row r="9" spans="1:5" ht="14.4">
      <c r="A9" s="34">
        <v>2</v>
      </c>
      <c r="B9" s="43" t="s">
        <v>17</v>
      </c>
      <c r="C9" s="41">
        <v>14</v>
      </c>
      <c r="D9" s="41">
        <v>2</v>
      </c>
      <c r="E9" s="2">
        <f t="shared" ref="E9" si="1">(D9/C9)*100</f>
        <v>14.285714285714285</v>
      </c>
    </row>
    <row r="10" spans="1:5" ht="14.4">
      <c r="A10" s="34">
        <v>2</v>
      </c>
      <c r="B10" s="43" t="s">
        <v>18</v>
      </c>
      <c r="C10" s="41">
        <v>0</v>
      </c>
      <c r="D10" s="41">
        <v>0</v>
      </c>
      <c r="E10" s="2">
        <v>0</v>
      </c>
    </row>
    <row r="11" spans="1:5" ht="14.4">
      <c r="A11" s="34">
        <v>2</v>
      </c>
      <c r="B11" s="43" t="s">
        <v>9</v>
      </c>
      <c r="C11" s="41">
        <v>0</v>
      </c>
      <c r="D11" s="41">
        <v>0</v>
      </c>
      <c r="E11" s="2">
        <v>0</v>
      </c>
    </row>
    <row r="12" spans="1:5" ht="14.4">
      <c r="A12" s="34">
        <v>2</v>
      </c>
      <c r="B12" s="43" t="s">
        <v>19</v>
      </c>
      <c r="C12" s="41">
        <v>30</v>
      </c>
      <c r="D12" s="41">
        <v>4</v>
      </c>
      <c r="E12" s="2">
        <f t="shared" ref="E12" si="2">(D12/C12)*100</f>
        <v>13.333333333333334</v>
      </c>
    </row>
    <row r="13" spans="1:5" ht="9" customHeight="1">
      <c r="A13" s="36"/>
      <c r="B13" s="42"/>
      <c r="C13" s="42"/>
      <c r="D13" s="42"/>
      <c r="E13" s="42"/>
    </row>
    <row r="14" spans="1:5" ht="11.4" customHeight="1">
      <c r="A14" s="35">
        <v>3</v>
      </c>
      <c r="B14" s="44" t="s">
        <v>16</v>
      </c>
      <c r="C14" s="41">
        <v>10</v>
      </c>
      <c r="D14" s="41">
        <v>0</v>
      </c>
      <c r="E14" s="2">
        <f>(D14/C14)*100</f>
        <v>0</v>
      </c>
    </row>
    <row r="15" spans="1:5" ht="14.4">
      <c r="A15" s="35">
        <v>3</v>
      </c>
      <c r="B15" s="44" t="s">
        <v>17</v>
      </c>
      <c r="C15" s="41">
        <v>12</v>
      </c>
      <c r="D15" s="41">
        <v>0</v>
      </c>
      <c r="E15" s="2">
        <f t="shared" ref="E15:E18" si="3">(D15/C15)*100</f>
        <v>0</v>
      </c>
    </row>
    <row r="16" spans="1:5" ht="14.4">
      <c r="A16" s="35">
        <v>3</v>
      </c>
      <c r="B16" s="44" t="s">
        <v>18</v>
      </c>
      <c r="C16" s="41">
        <v>3</v>
      </c>
      <c r="D16" s="41">
        <v>0</v>
      </c>
      <c r="E16" s="2">
        <f t="shared" si="3"/>
        <v>0</v>
      </c>
    </row>
    <row r="17" spans="1:7" ht="14.4">
      <c r="A17" s="35">
        <v>3</v>
      </c>
      <c r="B17" s="44" t="s">
        <v>9</v>
      </c>
      <c r="C17" s="41">
        <v>6</v>
      </c>
      <c r="D17" s="41">
        <v>1</v>
      </c>
      <c r="E17" s="2">
        <f t="shared" si="3"/>
        <v>16.666666666666664</v>
      </c>
      <c r="G17" s="39"/>
    </row>
    <row r="18" spans="1:7" ht="14.4">
      <c r="A18" s="35">
        <v>3</v>
      </c>
      <c r="B18" s="44" t="s">
        <v>19</v>
      </c>
      <c r="C18" s="41">
        <v>20</v>
      </c>
      <c r="D18" s="41">
        <v>2</v>
      </c>
      <c r="E18" s="2">
        <f t="shared" si="3"/>
        <v>10</v>
      </c>
    </row>
    <row r="20" spans="1:7" ht="29.4" customHeight="1">
      <c r="A20" s="48" t="s">
        <v>35</v>
      </c>
      <c r="B20" s="48"/>
      <c r="C20" s="48"/>
      <c r="D20" s="48"/>
      <c r="E20" s="48"/>
    </row>
  </sheetData>
  <mergeCells count="1">
    <mergeCell ref="A20:E2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Evidence Worksheet</vt:lpstr>
      <vt:lpstr>Overlap with vulnerable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Eskild Hillerup Pockel</dc:creator>
  <cp:lastModifiedBy>Eskild Hillerup Pockel</cp:lastModifiedBy>
  <dcterms:created xsi:type="dcterms:W3CDTF">2026-08-08T16:23:58Z</dcterms:created>
  <dcterms:modified xsi:type="dcterms:W3CDTF">2026-08-17T10:25:27Z</dcterms:modified>
</cp:coreProperties>
</file>